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anriar/Desktop/Grad job stuff/"/>
    </mc:Choice>
  </mc:AlternateContent>
  <xr:revisionPtr revIDLastSave="0" documentId="13_ncr:1_{D98F6ED3-96FA-5A40-9CD4-4F71EFB09C4C}" xr6:coauthVersionLast="47" xr6:coauthVersionMax="47" xr10:uidLastSave="{00000000-0000-0000-0000-000000000000}"/>
  <bookViews>
    <workbookView xWindow="0" yWindow="0" windowWidth="28800" windowHeight="18000" xr2:uid="{2215F692-0FFF-1B42-BAAE-D451645F8EC4}"/>
  </bookViews>
  <sheets>
    <sheet name="Raw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4" i="1"/>
  <c r="L3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T14" i="1"/>
  <c r="T6" i="1"/>
  <c r="T21" i="1"/>
  <c r="T31" i="1"/>
  <c r="R6" i="1"/>
  <c r="R14" i="1"/>
  <c r="R21" i="1"/>
  <c r="R31" i="1"/>
  <c r="S3" i="1"/>
  <c r="S4" i="1"/>
  <c r="S5" i="1"/>
  <c r="S7" i="1"/>
  <c r="S8" i="1"/>
  <c r="S9" i="1"/>
  <c r="S10" i="1"/>
  <c r="S11" i="1"/>
  <c r="S12" i="1"/>
  <c r="S13" i="1"/>
  <c r="S15" i="1"/>
  <c r="S16" i="1"/>
  <c r="S17" i="1"/>
  <c r="S18" i="1"/>
  <c r="S19" i="1"/>
  <c r="S20" i="1"/>
  <c r="S22" i="1"/>
  <c r="S23" i="1"/>
  <c r="S24" i="1"/>
  <c r="S25" i="1"/>
  <c r="S26" i="1"/>
  <c r="S27" i="1"/>
  <c r="S28" i="1"/>
  <c r="S29" i="1"/>
  <c r="S30" i="1"/>
  <c r="Q3" i="1"/>
  <c r="Q4" i="1"/>
  <c r="Q5" i="1"/>
  <c r="Q7" i="1"/>
  <c r="Q8" i="1"/>
  <c r="Q9" i="1"/>
  <c r="Q10" i="1"/>
  <c r="Q11" i="1"/>
  <c r="Q12" i="1"/>
  <c r="Q13" i="1"/>
  <c r="Q15" i="1"/>
  <c r="Q16" i="1"/>
  <c r="Q17" i="1"/>
  <c r="Q18" i="1"/>
  <c r="Q19" i="1"/>
  <c r="Q20" i="1"/>
  <c r="Q22" i="1"/>
  <c r="Q23" i="1"/>
  <c r="Q24" i="1"/>
  <c r="Q25" i="1"/>
  <c r="Q26" i="1"/>
  <c r="Q27" i="1"/>
  <c r="Q28" i="1"/>
  <c r="Q29" i="1"/>
  <c r="Q30" i="1"/>
  <c r="S2" i="1"/>
  <c r="Q2" i="1"/>
  <c r="E6" i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4" i="1"/>
  <c r="M3" i="1"/>
  <c r="M2" i="1"/>
  <c r="E2" i="1"/>
  <c r="T34" i="1" l="1"/>
  <c r="R34" i="1"/>
  <c r="Q34" i="1"/>
  <c r="S34" i="1"/>
</calcChain>
</file>

<file path=xl/sharedStrings.xml><?xml version="1.0" encoding="utf-8"?>
<sst xmlns="http://schemas.openxmlformats.org/spreadsheetml/2006/main" count="48" uniqueCount="47">
  <si>
    <t>Ticker</t>
  </si>
  <si>
    <t>Earnings Date</t>
  </si>
  <si>
    <t>EPS Actual</t>
  </si>
  <si>
    <t>EPS Estimate</t>
  </si>
  <si>
    <t>Surprise</t>
  </si>
  <si>
    <t>Price D-1</t>
  </si>
  <si>
    <t>Price D+1</t>
  </si>
  <si>
    <t>Beat/Miss</t>
  </si>
  <si>
    <t>AAPL</t>
  </si>
  <si>
    <t>MSFT</t>
  </si>
  <si>
    <t>AMGN</t>
  </si>
  <si>
    <t>AXP</t>
  </si>
  <si>
    <t>BA</t>
  </si>
  <si>
    <t>CAT</t>
  </si>
  <si>
    <t>CRM</t>
  </si>
  <si>
    <t>CSCO</t>
  </si>
  <si>
    <t>CVX</t>
  </si>
  <si>
    <t>DIS</t>
  </si>
  <si>
    <t>GS</t>
  </si>
  <si>
    <t>HD</t>
  </si>
  <si>
    <t>HON</t>
  </si>
  <si>
    <t>IBM</t>
  </si>
  <si>
    <t>JNJ</t>
  </si>
  <si>
    <t>JPM</t>
  </si>
  <si>
    <t>KO</t>
  </si>
  <si>
    <t>MCD</t>
  </si>
  <si>
    <t>MMM</t>
  </si>
  <si>
    <t>MRK</t>
  </si>
  <si>
    <t>NKE</t>
  </si>
  <si>
    <t>PG</t>
  </si>
  <si>
    <t>TRV</t>
  </si>
  <si>
    <t>UNH</t>
  </si>
  <si>
    <t>V</t>
  </si>
  <si>
    <t>VZ</t>
  </si>
  <si>
    <t>WMT</t>
  </si>
  <si>
    <t>AMZN</t>
  </si>
  <si>
    <t>NVDA</t>
  </si>
  <si>
    <t>SHW</t>
  </si>
  <si>
    <t>Avg D+1 return (miss)</t>
  </si>
  <si>
    <t>Avg D+1 return ( beats)</t>
  </si>
  <si>
    <t>Avg D+5 return ( beats)</t>
  </si>
  <si>
    <t>Average Return</t>
  </si>
  <si>
    <t xml:space="preserve">Price D+ 5 </t>
  </si>
  <si>
    <t>Price D-10</t>
  </si>
  <si>
    <t xml:space="preserve"> %difference from D-10 to close</t>
  </si>
  <si>
    <t>Price D-0</t>
  </si>
  <si>
    <t>%difference from D-0 to D+5 (Post earning drift)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</si>
</sst>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70" formatCode="0.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7" fontId="0" fillId="0" borderId="0" xfId="1" applyNumberFormat="1" applyFont="1"/>
    <xf numFmtId="170" fontId="0" fillId="0" borderId="0" xfId="1" applyNumberFormat="1" applyFont="1"/>
    <xf numFmtId="0" fontId="2" fillId="0" borderId="1" xfId="0" applyFont="1" applyBorder="1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2">
    <dxf>
      <font>
        <b val="0"/>
        <i val="0"/>
        <strike val="0"/>
        <color rgb="FF00B05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"Miss" companies Suprise Value to Average return</a:t>
            </a:r>
            <a:r>
              <a:rPr lang="en-GB" baseline="0"/>
              <a:t> at D+1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22112582195338"/>
          <c:y val="0.118688"/>
          <c:w val="0.83154544477001613"/>
          <c:h val="0.7818239999999999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Data'!$E$2:$E$31</c:f>
              <c:numCache>
                <c:formatCode>0.000%</c:formatCode>
                <c:ptCount val="30"/>
                <c:pt idx="0">
                  <c:v>6.9364161849711045E-2</c:v>
                </c:pt>
                <c:pt idx="1">
                  <c:v>0.13150684931506848</c:v>
                </c:pt>
                <c:pt idx="2">
                  <c:v>0.12799999999999995</c:v>
                </c:pt>
                <c:pt idx="3">
                  <c:v>4.5454545454545386E-2</c:v>
                </c:pt>
                <c:pt idx="4">
                  <c:v>-0.94025974025974013</c:v>
                </c:pt>
                <c:pt idx="5">
                  <c:v>9.5132743362832006E-2</c:v>
                </c:pt>
                <c:pt idx="6">
                  <c:v>7.0754716981132032E-2</c:v>
                </c:pt>
                <c:pt idx="7">
                  <c:v>1.2500000000000011E-2</c:v>
                </c:pt>
                <c:pt idx="8">
                  <c:v>0.11445783132530131</c:v>
                </c:pt>
                <c:pt idx="9">
                  <c:v>7.7669902912621422E-2</c:v>
                </c:pt>
                <c:pt idx="10">
                  <c:v>0.23417721518987333</c:v>
                </c:pt>
                <c:pt idx="11">
                  <c:v>0.10261026102610267</c:v>
                </c:pt>
                <c:pt idx="12">
                  <c:v>-6.3694267515924099E-3</c:v>
                </c:pt>
                <c:pt idx="13">
                  <c:v>0.10156249999999992</c:v>
                </c:pt>
                <c:pt idx="14">
                  <c:v>8.6065573770491788E-2</c:v>
                </c:pt>
                <c:pt idx="15">
                  <c:v>5.3191489361702177E-2</c:v>
                </c:pt>
                <c:pt idx="16">
                  <c:v>1.0830324909747223E-2</c:v>
                </c:pt>
                <c:pt idx="17">
                  <c:v>4.9689440993788865E-2</c:v>
                </c:pt>
                <c:pt idx="18">
                  <c:v>5.1282051282051183E-2</c:v>
                </c:pt>
                <c:pt idx="19">
                  <c:v>-3.8805970149253702E-2</c:v>
                </c:pt>
                <c:pt idx="20">
                  <c:v>4.2857142857142788E-2</c:v>
                </c:pt>
                <c:pt idx="21">
                  <c:v>9.3220338983050932E-2</c:v>
                </c:pt>
                <c:pt idx="22">
                  <c:v>0.81481481481481466</c:v>
                </c:pt>
                <c:pt idx="23">
                  <c:v>4.7368421052631622E-2</c:v>
                </c:pt>
                <c:pt idx="24">
                  <c:v>0.3544093178036607</c:v>
                </c:pt>
                <c:pt idx="25">
                  <c:v>6.1818181818181793E-2</c:v>
                </c:pt>
                <c:pt idx="26">
                  <c:v>3.3670033670032949E-3</c:v>
                </c:pt>
                <c:pt idx="27">
                  <c:v>1.6806722689075647E-2</c:v>
                </c:pt>
                <c:pt idx="28">
                  <c:v>3.7572254335260083E-2</c:v>
                </c:pt>
                <c:pt idx="29">
                  <c:v>-6.849315068493142E-2</c:v>
                </c:pt>
              </c:numCache>
            </c:numRef>
          </c:xVal>
          <c:yVal>
            <c:numRef>
              <c:f>'Raw Data'!$R$2:$R$31</c:f>
              <c:numCache>
                <c:formatCode>0.000%</c:formatCode>
                <c:ptCount val="30"/>
                <c:pt idx="4">
                  <c:v>-0.10410603143330496</c:v>
                </c:pt>
                <c:pt idx="12">
                  <c:v>1.7836331390929872E-2</c:v>
                </c:pt>
                <c:pt idx="19">
                  <c:v>-2.673707429564368E-3</c:v>
                </c:pt>
                <c:pt idx="29">
                  <c:v>-5.5961782197523596E-2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2-B048-A777-C21CFAEB4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441680"/>
        <c:axId val="1698473120"/>
      </c:scatterChart>
      <c:valAx>
        <c:axId val="1698441680"/>
        <c:scaling>
          <c:orientation val="minMax"/>
          <c:max val="0.6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Suprise (%)</a:t>
                </a:r>
              </a:p>
            </c:rich>
          </c:tx>
          <c:layout>
            <c:manualLayout>
              <c:xMode val="edge"/>
              <c:yMode val="edge"/>
              <c:x val="0.50841102348855627"/>
              <c:y val="0.91331200000000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473120"/>
        <c:crosses val="autoZero"/>
        <c:crossBetween val="midCat"/>
      </c:valAx>
      <c:valAx>
        <c:axId val="169847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Suprise</a:t>
                </a:r>
                <a:r>
                  <a:rPr lang="en-GB" sz="1400" baseline="0"/>
                  <a:t> Value  (%)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1.5101739689835069E-2"/>
              <c:y val="0.22153600000000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4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62716</xdr:colOff>
      <xdr:row>38</xdr:row>
      <xdr:rowOff>180177</xdr:rowOff>
    </xdr:from>
    <xdr:to>
      <xdr:col>14</xdr:col>
      <xdr:colOff>240335</xdr:colOff>
      <xdr:row>62</xdr:row>
      <xdr:rowOff>101625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71B0E3-A95C-A4CA-88C0-BE19F63C3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0343" y="7541872"/>
          <a:ext cx="6570670" cy="4570939"/>
        </a:xfrm>
        <a:prstGeom prst="rect">
          <a:avLst/>
        </a:prstGeom>
      </xdr:spPr>
    </xdr:pic>
    <xdr:clientData/>
  </xdr:twoCellAnchor>
  <xdr:twoCellAnchor>
    <xdr:from>
      <xdr:col>0</xdr:col>
      <xdr:colOff>299373</xdr:colOff>
      <xdr:row>40</xdr:row>
      <xdr:rowOff>79742</xdr:rowOff>
    </xdr:from>
    <xdr:to>
      <xdr:col>9</xdr:col>
      <xdr:colOff>568220</xdr:colOff>
      <xdr:row>60</xdr:row>
      <xdr:rowOff>7584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3C7D8B-79E3-3BB6-8C4C-8052CC82E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ABB2-6A08-C94F-849E-BAC3356BEC06}">
  <dimension ref="A1:T50"/>
  <sheetViews>
    <sheetView tabSelected="1" zoomScale="59" zoomScaleNormal="81" workbookViewId="0">
      <pane ySplit="1" topLeftCell="A2" activePane="bottomLeft" state="frozen"/>
      <selection pane="bottomLeft" activeCell="S53" sqref="S53"/>
    </sheetView>
  </sheetViews>
  <sheetFormatPr baseColWidth="10" defaultRowHeight="16" x14ac:dyDescent="0.2"/>
  <cols>
    <col min="1" max="1" width="6.33203125" bestFit="1" customWidth="1"/>
    <col min="2" max="2" width="12.33203125" bestFit="1" customWidth="1"/>
    <col min="3" max="3" width="9.6640625" bestFit="1" customWidth="1"/>
    <col min="4" max="4" width="11.6640625" bestFit="1" customWidth="1"/>
    <col min="5" max="5" width="10.83203125" style="2"/>
    <col min="6" max="6" width="28" style="2" bestFit="1" customWidth="1"/>
    <col min="7" max="7" width="11.1640625" style="2" bestFit="1" customWidth="1"/>
    <col min="9" max="9" width="12.6640625" bestFit="1" customWidth="1"/>
    <col min="12" max="12" width="39.83203125" bestFit="1" customWidth="1"/>
    <col min="14" max="14" width="33.33203125" bestFit="1" customWidth="1"/>
    <col min="15" max="15" width="17" customWidth="1"/>
    <col min="16" max="16" width="13.33203125" bestFit="1" customWidth="1"/>
    <col min="17" max="17" width="19.5" bestFit="1" customWidth="1"/>
    <col min="18" max="18" width="18.5" bestFit="1" customWidth="1"/>
    <col min="19" max="20" width="19.5" bestFit="1" customWidth="1"/>
    <col min="25" max="25" width="29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44</v>
      </c>
      <c r="G1" s="5" t="s">
        <v>43</v>
      </c>
      <c r="H1" t="s">
        <v>5</v>
      </c>
      <c r="I1" t="s">
        <v>45</v>
      </c>
      <c r="J1" t="s">
        <v>6</v>
      </c>
      <c r="K1" t="s">
        <v>42</v>
      </c>
      <c r="L1" t="s">
        <v>46</v>
      </c>
      <c r="M1" t="s">
        <v>7</v>
      </c>
      <c r="Q1" t="s">
        <v>39</v>
      </c>
      <c r="R1" t="s">
        <v>38</v>
      </c>
      <c r="S1" t="s">
        <v>40</v>
      </c>
      <c r="T1" t="s">
        <v>40</v>
      </c>
    </row>
    <row r="2" spans="1:20" x14ac:dyDescent="0.2">
      <c r="A2" t="s">
        <v>8</v>
      </c>
      <c r="B2" s="1">
        <v>45960</v>
      </c>
      <c r="C2">
        <v>1.85</v>
      </c>
      <c r="D2">
        <v>1.73</v>
      </c>
      <c r="E2" s="3">
        <f>(C2 - D2) / D2</f>
        <v>6.9364161849711045E-2</v>
      </c>
      <c r="F2" s="3">
        <f>(I2 - G2) /G2</f>
        <v>9.6787229743382455E-2</v>
      </c>
      <c r="G2" s="5">
        <v>247.45</v>
      </c>
      <c r="H2">
        <v>269.7</v>
      </c>
      <c r="I2">
        <v>271.39999999999998</v>
      </c>
      <c r="J2">
        <v>270.37</v>
      </c>
      <c r="K2">
        <v>269.77</v>
      </c>
      <c r="L2" s="3">
        <f>(J2-I2)/I2</f>
        <v>-3.7951363301399147E-3</v>
      </c>
      <c r="M2" t="str">
        <f>IF( C2 &gt; D2, "Beat", "Miss")</f>
        <v>Beat</v>
      </c>
      <c r="O2" s="3"/>
      <c r="Q2" s="3">
        <f>(J2-H2) / H2</f>
        <v>2.4842417500927547E-3</v>
      </c>
      <c r="S2" s="3">
        <f>(K2-H2) / H2</f>
        <v>2.5954764553204741E-4</v>
      </c>
      <c r="T2" s="3"/>
    </row>
    <row r="3" spans="1:20" x14ac:dyDescent="0.2">
      <c r="A3" t="s">
        <v>9</v>
      </c>
      <c r="B3" s="1">
        <v>45959</v>
      </c>
      <c r="C3">
        <v>4.13</v>
      </c>
      <c r="D3">
        <v>3.65</v>
      </c>
      <c r="E3" s="3">
        <f t="shared" ref="E3:E31" si="0">(C3 - D3) / D3</f>
        <v>0.13150684931506848</v>
      </c>
      <c r="F3" s="3">
        <f>(I3 - G3) /G3</f>
        <v>5.4768907153847669E-2</v>
      </c>
      <c r="G3" s="5">
        <v>513.42999999999995</v>
      </c>
      <c r="H3">
        <v>542.07000000000005</v>
      </c>
      <c r="I3">
        <v>541.54999999999995</v>
      </c>
      <c r="J3">
        <v>525.76</v>
      </c>
      <c r="K3">
        <v>507.16</v>
      </c>
      <c r="L3" s="3">
        <f>(J3-I3)/I3</f>
        <v>-2.915704921059914E-2</v>
      </c>
      <c r="M3" t="str">
        <f>IF( C3 &gt; D3, "Beat", "Miss")</f>
        <v>Beat</v>
      </c>
      <c r="O3" s="3"/>
      <c r="Q3" s="3">
        <f t="shared" ref="Q3:Q30" si="1">(J3-H3) / H3</f>
        <v>-3.0088364971313775E-2</v>
      </c>
      <c r="R3" s="3"/>
      <c r="S3" s="3">
        <f t="shared" ref="S3:S30" si="2">(K3-H3) / H3</f>
        <v>-6.4401276587894588E-2</v>
      </c>
      <c r="T3" s="3"/>
    </row>
    <row r="4" spans="1:20" x14ac:dyDescent="0.2">
      <c r="A4" t="s">
        <v>10</v>
      </c>
      <c r="B4" s="1">
        <v>45965</v>
      </c>
      <c r="C4">
        <v>5.64</v>
      </c>
      <c r="D4">
        <v>5</v>
      </c>
      <c r="E4" s="3">
        <f t="shared" si="0"/>
        <v>0.12799999999999995</v>
      </c>
      <c r="F4" s="3">
        <f>(I4 - G4) /G4</f>
        <v>-1.4743972902968711E-2</v>
      </c>
      <c r="G4" s="5">
        <v>301.14</v>
      </c>
      <c r="H4">
        <v>296.3</v>
      </c>
      <c r="I4">
        <v>296.7</v>
      </c>
      <c r="J4">
        <v>319.86</v>
      </c>
      <c r="K4">
        <v>338.45</v>
      </c>
      <c r="L4" s="3">
        <f>(J4-I4)/I4</f>
        <v>7.8058645096056714E-2</v>
      </c>
      <c r="M4" t="str">
        <f>IF( C4 &gt; D4, "Beat", "Miss")</f>
        <v>Beat</v>
      </c>
      <c r="O4" s="3"/>
      <c r="Q4" s="3">
        <f t="shared" si="1"/>
        <v>7.9514006074924065E-2</v>
      </c>
      <c r="R4" s="3"/>
      <c r="S4" s="3">
        <f t="shared" si="2"/>
        <v>0.14225447181910217</v>
      </c>
      <c r="T4" s="3"/>
    </row>
    <row r="5" spans="1:20" x14ac:dyDescent="0.2">
      <c r="A5" t="s">
        <v>11</v>
      </c>
      <c r="B5" s="1">
        <v>45947</v>
      </c>
      <c r="C5">
        <v>4.1399999999999997</v>
      </c>
      <c r="D5">
        <v>3.96</v>
      </c>
      <c r="E5" s="3">
        <f t="shared" si="0"/>
        <v>4.5454545454545386E-2</v>
      </c>
      <c r="F5" s="3">
        <f>(I5 - G5) /G5</f>
        <v>4.9600290697674403E-2</v>
      </c>
      <c r="G5" s="5">
        <v>330.24</v>
      </c>
      <c r="H5">
        <v>323.12</v>
      </c>
      <c r="I5">
        <v>346.62</v>
      </c>
      <c r="J5">
        <v>349.48</v>
      </c>
      <c r="K5">
        <v>357.56</v>
      </c>
      <c r="L5" s="3">
        <f t="shared" ref="L5:L31" si="3">(J5-I5)/I5</f>
        <v>8.2511107264439838E-3</v>
      </c>
      <c r="M5" t="str">
        <f t="shared" ref="M5:M31" si="4">IF( C5 &gt; D5, "Beat", "Miss")</f>
        <v>Beat</v>
      </c>
      <c r="O5" s="3"/>
      <c r="Q5" s="3">
        <f t="shared" si="1"/>
        <v>8.1579598910621484E-2</v>
      </c>
      <c r="R5" s="3"/>
      <c r="S5" s="3">
        <f t="shared" si="2"/>
        <v>0.10658578856152512</v>
      </c>
      <c r="T5" s="3"/>
    </row>
    <row r="6" spans="1:20" x14ac:dyDescent="0.2">
      <c r="A6" t="s">
        <v>12</v>
      </c>
      <c r="B6" s="1">
        <v>45959</v>
      </c>
      <c r="C6">
        <v>-7.47</v>
      </c>
      <c r="D6">
        <v>-3.85</v>
      </c>
      <c r="E6" s="3">
        <f>(C6 - D6) / -D6</f>
        <v>-0.94025974025974013</v>
      </c>
      <c r="F6" s="3">
        <f>(I6 - G6) /G6</f>
        <v>-1.9626168224298481E-3</v>
      </c>
      <c r="G6" s="5">
        <v>214</v>
      </c>
      <c r="H6">
        <v>223.33</v>
      </c>
      <c r="I6">
        <v>213.58</v>
      </c>
      <c r="J6">
        <v>200.08</v>
      </c>
      <c r="K6">
        <v>197.62</v>
      </c>
      <c r="L6" s="3">
        <f t="shared" si="3"/>
        <v>-6.3208165558572893E-2</v>
      </c>
      <c r="M6" t="str">
        <f t="shared" si="4"/>
        <v>Miss</v>
      </c>
      <c r="O6" s="3"/>
      <c r="Q6" s="3"/>
      <c r="R6" s="3">
        <f t="shared" ref="R6:R31" si="5">(J6-H6) / H6</f>
        <v>-0.10410603143330496</v>
      </c>
      <c r="S6" s="3"/>
      <c r="T6" s="3">
        <f t="shared" ref="T6:T31" si="6">(K6-H6) / H6</f>
        <v>-0.11512112121076437</v>
      </c>
    </row>
    <row r="7" spans="1:20" x14ac:dyDescent="0.2">
      <c r="A7" t="s">
        <v>13</v>
      </c>
      <c r="B7" s="1">
        <v>45959</v>
      </c>
      <c r="C7">
        <v>4.95</v>
      </c>
      <c r="D7">
        <v>4.5199999999999996</v>
      </c>
      <c r="E7" s="3">
        <f t="shared" si="0"/>
        <v>9.5132743362832006E-2</v>
      </c>
      <c r="F7" s="3">
        <f>(I7 - G7) /G7</f>
        <v>9.6320569235090456E-2</v>
      </c>
      <c r="G7" s="5">
        <v>534.04999999999995</v>
      </c>
      <c r="H7">
        <v>524.47</v>
      </c>
      <c r="I7">
        <v>585.49</v>
      </c>
      <c r="J7">
        <v>583.15</v>
      </c>
      <c r="K7">
        <v>569.15</v>
      </c>
      <c r="L7" s="3">
        <f t="shared" si="3"/>
        <v>-3.9966523766418417E-3</v>
      </c>
      <c r="M7" t="str">
        <f t="shared" si="4"/>
        <v>Beat</v>
      </c>
      <c r="O7" s="3"/>
      <c r="Q7" s="3">
        <f t="shared" si="1"/>
        <v>0.11188437851545359</v>
      </c>
      <c r="R7" s="3"/>
      <c r="S7" s="3">
        <f t="shared" si="2"/>
        <v>8.5190764009380804E-2</v>
      </c>
      <c r="T7" s="3"/>
    </row>
    <row r="8" spans="1:20" x14ac:dyDescent="0.2">
      <c r="A8" t="s">
        <v>14</v>
      </c>
      <c r="B8" s="1">
        <v>45903</v>
      </c>
      <c r="C8">
        <v>2.27</v>
      </c>
      <c r="D8">
        <v>2.12</v>
      </c>
      <c r="E8" s="3">
        <f t="shared" si="0"/>
        <v>7.0754716981132032E-2</v>
      </c>
      <c r="F8" s="3">
        <f>(I8 - G8) /G8</f>
        <v>4.247967479674792E-2</v>
      </c>
      <c r="G8" s="5">
        <v>246</v>
      </c>
      <c r="H8">
        <v>252.86</v>
      </c>
      <c r="I8">
        <v>256.45</v>
      </c>
      <c r="J8">
        <v>244.01</v>
      </c>
      <c r="K8">
        <v>242.57</v>
      </c>
      <c r="L8" s="3">
        <f t="shared" si="3"/>
        <v>-4.8508481185416251E-2</v>
      </c>
      <c r="M8" t="str">
        <f t="shared" si="4"/>
        <v>Beat</v>
      </c>
      <c r="O8" s="3"/>
      <c r="Q8" s="3">
        <f t="shared" si="1"/>
        <v>-3.499960452424275E-2</v>
      </c>
      <c r="R8" s="3"/>
      <c r="S8" s="3">
        <f t="shared" si="2"/>
        <v>-4.0694455429882224E-2</v>
      </c>
      <c r="T8" s="3"/>
    </row>
    <row r="9" spans="1:20" x14ac:dyDescent="0.2">
      <c r="A9" t="s">
        <v>15</v>
      </c>
      <c r="B9" s="1">
        <v>45973</v>
      </c>
      <c r="C9">
        <v>0.81</v>
      </c>
      <c r="D9">
        <v>0.8</v>
      </c>
      <c r="E9" s="3">
        <f t="shared" si="0"/>
        <v>1.2500000000000011E-2</v>
      </c>
      <c r="F9" s="3">
        <f>(I9 - G9) /G9</f>
        <v>3.6870881816907272E-2</v>
      </c>
      <c r="G9" s="5">
        <v>71.33</v>
      </c>
      <c r="H9">
        <v>71.709999999999994</v>
      </c>
      <c r="I9">
        <v>73.959999999999994</v>
      </c>
      <c r="J9">
        <v>77.38</v>
      </c>
      <c r="K9">
        <v>78.39</v>
      </c>
      <c r="L9" s="3">
        <f t="shared" si="3"/>
        <v>4.6241211465657142E-2</v>
      </c>
      <c r="M9" t="str">
        <f t="shared" si="4"/>
        <v>Beat</v>
      </c>
      <c r="O9" s="3"/>
      <c r="Q9" s="3">
        <f t="shared" si="1"/>
        <v>7.9068470227304455E-2</v>
      </c>
      <c r="R9" s="3"/>
      <c r="S9" s="3">
        <f t="shared" si="2"/>
        <v>9.315297726955804E-2</v>
      </c>
      <c r="T9" s="3"/>
    </row>
    <row r="10" spans="1:20" x14ac:dyDescent="0.2">
      <c r="A10" t="s">
        <v>16</v>
      </c>
      <c r="B10" s="1">
        <v>45961</v>
      </c>
      <c r="C10">
        <v>1.85</v>
      </c>
      <c r="D10">
        <v>1.66</v>
      </c>
      <c r="E10" s="3">
        <f t="shared" si="0"/>
        <v>0.11445783132530131</v>
      </c>
      <c r="F10" s="3">
        <f>(I10 - G10) /G10</f>
        <v>3.0310948523647675E-2</v>
      </c>
      <c r="G10" s="5">
        <v>153.08000000000001</v>
      </c>
      <c r="H10">
        <v>153.52000000000001</v>
      </c>
      <c r="I10">
        <v>157.72</v>
      </c>
      <c r="J10">
        <v>154.04</v>
      </c>
      <c r="K10">
        <v>155.02000000000001</v>
      </c>
      <c r="L10" s="3">
        <f t="shared" si="3"/>
        <v>-2.3332487953335066E-2</v>
      </c>
      <c r="M10" t="str">
        <f t="shared" si="4"/>
        <v>Beat</v>
      </c>
      <c r="O10" s="3"/>
      <c r="Q10" s="3">
        <f t="shared" si="1"/>
        <v>3.3871808233453737E-3</v>
      </c>
      <c r="R10" s="3"/>
      <c r="S10" s="3">
        <f t="shared" si="2"/>
        <v>9.770713913496612E-3</v>
      </c>
      <c r="T10" s="3"/>
    </row>
    <row r="11" spans="1:20" x14ac:dyDescent="0.2">
      <c r="A11" t="s">
        <v>17</v>
      </c>
      <c r="B11" s="1">
        <v>45974</v>
      </c>
      <c r="C11">
        <v>1.1100000000000001</v>
      </c>
      <c r="D11">
        <v>1.03</v>
      </c>
      <c r="E11" s="3">
        <f t="shared" si="0"/>
        <v>7.7669902912621422E-2</v>
      </c>
      <c r="F11" s="3">
        <f>(I11 - G11) /G11</f>
        <v>-3.7821888412017203E-2</v>
      </c>
      <c r="G11" s="5">
        <v>111.84</v>
      </c>
      <c r="H11">
        <v>116.65</v>
      </c>
      <c r="I11">
        <v>107.61</v>
      </c>
      <c r="J11">
        <v>105.8</v>
      </c>
      <c r="K11">
        <v>102.7</v>
      </c>
      <c r="L11" s="3">
        <f t="shared" si="3"/>
        <v>-1.6819998141436691E-2</v>
      </c>
      <c r="M11" t="str">
        <f t="shared" si="4"/>
        <v>Beat</v>
      </c>
      <c r="O11" s="3"/>
      <c r="Q11" s="3">
        <f t="shared" si="1"/>
        <v>-9.3013287612516149E-2</v>
      </c>
      <c r="R11" s="3"/>
      <c r="S11" s="3">
        <f t="shared" si="2"/>
        <v>-0.11958851264466354</v>
      </c>
      <c r="T11" s="3"/>
    </row>
    <row r="12" spans="1:20" x14ac:dyDescent="0.2">
      <c r="A12" t="s">
        <v>35</v>
      </c>
      <c r="B12" s="1">
        <v>45960</v>
      </c>
      <c r="C12">
        <v>1.95</v>
      </c>
      <c r="D12">
        <v>1.58</v>
      </c>
      <c r="E12" s="3">
        <f t="shared" si="0"/>
        <v>0.23417721518987333</v>
      </c>
      <c r="F12" s="3">
        <f>(I12 - G12) /G12</f>
        <v>3.9119690399589756E-2</v>
      </c>
      <c r="G12" s="5">
        <v>214.47</v>
      </c>
      <c r="H12">
        <v>230.3</v>
      </c>
      <c r="I12">
        <v>222.86</v>
      </c>
      <c r="J12">
        <v>244.22</v>
      </c>
      <c r="K12">
        <v>243.04</v>
      </c>
      <c r="L12" s="3">
        <f t="shared" si="3"/>
        <v>9.5844925065063202E-2</v>
      </c>
      <c r="M12" t="str">
        <f t="shared" si="4"/>
        <v>Beat</v>
      </c>
      <c r="O12" s="3"/>
      <c r="Q12" s="3">
        <f t="shared" si="1"/>
        <v>6.0442900564481053E-2</v>
      </c>
      <c r="R12" s="3"/>
      <c r="S12" s="3">
        <f t="shared" si="2"/>
        <v>5.5319148936170126E-2</v>
      </c>
      <c r="T12" s="3"/>
    </row>
    <row r="13" spans="1:20" x14ac:dyDescent="0.2">
      <c r="A13" t="s">
        <v>18</v>
      </c>
      <c r="B13" s="1">
        <v>45944</v>
      </c>
      <c r="C13">
        <v>12.25</v>
      </c>
      <c r="D13">
        <v>11.11</v>
      </c>
      <c r="E13" s="3">
        <f t="shared" si="0"/>
        <v>0.10261026102610267</v>
      </c>
      <c r="F13" s="3">
        <f>(I13 - G13) /G13</f>
        <v>-3.2134111885477532E-2</v>
      </c>
      <c r="G13" s="5">
        <v>796.35</v>
      </c>
      <c r="H13">
        <v>786.78</v>
      </c>
      <c r="I13">
        <v>770.76</v>
      </c>
      <c r="J13">
        <v>767.93</v>
      </c>
      <c r="K13">
        <v>758.98</v>
      </c>
      <c r="L13" s="3">
        <f t="shared" si="3"/>
        <v>-3.6717006590897827E-3</v>
      </c>
      <c r="M13" t="str">
        <f t="shared" si="4"/>
        <v>Beat</v>
      </c>
      <c r="O13" s="3"/>
      <c r="Q13" s="3">
        <f t="shared" si="1"/>
        <v>-2.3958412771041489E-2</v>
      </c>
      <c r="R13" s="3"/>
      <c r="S13" s="3">
        <f t="shared" si="2"/>
        <v>-3.5333892574798492E-2</v>
      </c>
      <c r="T13" s="3"/>
    </row>
    <row r="14" spans="1:20" x14ac:dyDescent="0.2">
      <c r="A14" t="s">
        <v>19</v>
      </c>
      <c r="B14" s="1">
        <v>45888</v>
      </c>
      <c r="C14">
        <v>4.68</v>
      </c>
      <c r="D14">
        <v>4.71</v>
      </c>
      <c r="E14" s="3">
        <f t="shared" si="0"/>
        <v>-6.3694267515924099E-3</v>
      </c>
      <c r="F14" s="3">
        <f>(I14 - G14) /G14</f>
        <v>5.6537194156871806E-2</v>
      </c>
      <c r="G14" s="5">
        <v>385.41</v>
      </c>
      <c r="H14">
        <v>394.7</v>
      </c>
      <c r="I14">
        <v>407.2</v>
      </c>
      <c r="J14">
        <v>401.74</v>
      </c>
      <c r="K14">
        <v>407.54</v>
      </c>
      <c r="L14" s="3">
        <f t="shared" si="3"/>
        <v>-1.3408644400785805E-2</v>
      </c>
      <c r="M14" t="str">
        <f t="shared" si="4"/>
        <v>Miss</v>
      </c>
      <c r="O14" s="3"/>
      <c r="Q14" s="3"/>
      <c r="R14" s="3">
        <f t="shared" si="5"/>
        <v>1.7836331390929872E-2</v>
      </c>
      <c r="S14" s="3"/>
      <c r="T14" s="3">
        <f t="shared" si="6"/>
        <v>3.2531036230048223E-2</v>
      </c>
    </row>
    <row r="15" spans="1:20" x14ac:dyDescent="0.2">
      <c r="A15" t="s">
        <v>20</v>
      </c>
      <c r="B15" s="1">
        <v>45953</v>
      </c>
      <c r="C15">
        <v>2.82</v>
      </c>
      <c r="D15">
        <v>2.56</v>
      </c>
      <c r="E15" s="3">
        <f t="shared" si="0"/>
        <v>0.10156249999999992</v>
      </c>
      <c r="F15" s="3">
        <f>(I15 - G15) /G15</f>
        <v>8.0471712816250096E-2</v>
      </c>
      <c r="G15" s="5">
        <v>192.49</v>
      </c>
      <c r="H15">
        <v>194.73</v>
      </c>
      <c r="I15">
        <v>207.98</v>
      </c>
      <c r="J15">
        <v>203.71</v>
      </c>
      <c r="K15">
        <v>200.11</v>
      </c>
      <c r="L15" s="3">
        <f t="shared" si="3"/>
        <v>-2.0530820271179834E-2</v>
      </c>
      <c r="M15" t="str">
        <f t="shared" si="4"/>
        <v>Beat</v>
      </c>
      <c r="O15" s="3"/>
      <c r="Q15" s="3">
        <f t="shared" si="1"/>
        <v>4.6115133774970569E-2</v>
      </c>
      <c r="R15" s="3"/>
      <c r="S15" s="3">
        <f t="shared" si="2"/>
        <v>2.7627997740461277E-2</v>
      </c>
      <c r="T15" s="3"/>
    </row>
    <row r="16" spans="1:20" x14ac:dyDescent="0.2">
      <c r="A16" t="s">
        <v>21</v>
      </c>
      <c r="B16" s="1">
        <v>45952</v>
      </c>
      <c r="C16">
        <v>2.65</v>
      </c>
      <c r="D16">
        <v>2.44</v>
      </c>
      <c r="E16" s="3">
        <f t="shared" si="0"/>
        <v>8.6065573770491788E-2</v>
      </c>
      <c r="F16" s="3">
        <f>(I16 - G16) /G16</f>
        <v>-6.7366820976991247E-3</v>
      </c>
      <c r="G16" s="5">
        <v>289.45999999999998</v>
      </c>
      <c r="H16">
        <v>282.05</v>
      </c>
      <c r="I16">
        <v>287.51</v>
      </c>
      <c r="J16">
        <v>285</v>
      </c>
      <c r="K16">
        <v>308.20999999999998</v>
      </c>
      <c r="L16" s="3">
        <f t="shared" si="3"/>
        <v>-8.7301311258738516E-3</v>
      </c>
      <c r="M16" t="str">
        <f t="shared" si="4"/>
        <v>Beat</v>
      </c>
      <c r="O16" s="3"/>
      <c r="Q16" s="3">
        <f t="shared" si="1"/>
        <v>1.045913845062928E-2</v>
      </c>
      <c r="R16" s="3"/>
      <c r="S16" s="3">
        <f t="shared" si="2"/>
        <v>9.2749512497783959E-2</v>
      </c>
      <c r="T16" s="3"/>
    </row>
    <row r="17" spans="1:20" x14ac:dyDescent="0.2">
      <c r="A17" t="s">
        <v>36</v>
      </c>
      <c r="B17" s="1">
        <v>45896</v>
      </c>
      <c r="C17">
        <v>0.99</v>
      </c>
      <c r="D17">
        <v>0.94</v>
      </c>
      <c r="E17" s="3">
        <f t="shared" si="0"/>
        <v>5.3191489361702177E-2</v>
      </c>
      <c r="F17" s="3">
        <f>(I17 - G17) /G17</f>
        <v>5.5069111735177626E-5</v>
      </c>
      <c r="G17" s="5">
        <v>181.59</v>
      </c>
      <c r="H17">
        <v>181.77</v>
      </c>
      <c r="I17">
        <v>181.6</v>
      </c>
      <c r="J17">
        <v>180.17</v>
      </c>
      <c r="K17">
        <v>171.66</v>
      </c>
      <c r="L17" s="3">
        <f t="shared" si="3"/>
        <v>-7.8744493392070864E-3</v>
      </c>
      <c r="M17" t="str">
        <f t="shared" si="4"/>
        <v>Beat</v>
      </c>
      <c r="O17" s="3"/>
      <c r="Q17" s="3">
        <f t="shared" si="1"/>
        <v>-8.8023326181439331E-3</v>
      </c>
      <c r="R17" s="3"/>
      <c r="S17" s="3">
        <f t="shared" si="2"/>
        <v>-5.5619739230896262E-2</v>
      </c>
      <c r="T17" s="3"/>
    </row>
    <row r="18" spans="1:20" x14ac:dyDescent="0.2">
      <c r="A18" t="s">
        <v>22</v>
      </c>
      <c r="B18" s="1">
        <v>45944</v>
      </c>
      <c r="C18">
        <v>2.8</v>
      </c>
      <c r="D18">
        <v>2.77</v>
      </c>
      <c r="E18" s="3">
        <f t="shared" si="0"/>
        <v>1.0830324909747223E-2</v>
      </c>
      <c r="F18" s="3">
        <f>(I18 - G18) /G18</f>
        <v>2.92848667889117E-2</v>
      </c>
      <c r="G18" s="5">
        <v>185.42</v>
      </c>
      <c r="H18">
        <v>190.9</v>
      </c>
      <c r="I18">
        <v>190.85</v>
      </c>
      <c r="J18">
        <v>191.17</v>
      </c>
      <c r="K18">
        <v>191.88</v>
      </c>
      <c r="L18" s="3">
        <f t="shared" si="3"/>
        <v>1.6767094576892491E-3</v>
      </c>
      <c r="M18" t="str">
        <f t="shared" si="4"/>
        <v>Beat</v>
      </c>
      <c r="O18" s="3"/>
      <c r="Q18" s="3">
        <f t="shared" si="1"/>
        <v>1.4143530644315442E-3</v>
      </c>
      <c r="R18" s="3"/>
      <c r="S18" s="3">
        <f t="shared" si="2"/>
        <v>5.1335777894184901E-3</v>
      </c>
      <c r="T18" s="3"/>
    </row>
    <row r="19" spans="1:20" x14ac:dyDescent="0.2">
      <c r="A19" t="s">
        <v>23</v>
      </c>
      <c r="B19" s="1">
        <v>45944</v>
      </c>
      <c r="C19">
        <v>5.07</v>
      </c>
      <c r="D19">
        <v>4.83</v>
      </c>
      <c r="E19" s="3">
        <f t="shared" si="0"/>
        <v>4.9689440993788865E-2</v>
      </c>
      <c r="F19" s="3">
        <f>(I19 - G19) /G19</f>
        <v>-4.2323177884158202E-2</v>
      </c>
      <c r="G19" s="5">
        <v>315.43</v>
      </c>
      <c r="H19">
        <v>307.97000000000003</v>
      </c>
      <c r="I19">
        <v>302.08</v>
      </c>
      <c r="J19">
        <v>305.69</v>
      </c>
      <c r="K19">
        <v>297.08999999999997</v>
      </c>
      <c r="L19" s="3">
        <f t="shared" si="3"/>
        <v>1.19504766949153E-2</v>
      </c>
      <c r="M19" t="str">
        <f t="shared" si="4"/>
        <v>Beat</v>
      </c>
      <c r="O19" s="3"/>
      <c r="Q19" s="3">
        <f t="shared" si="1"/>
        <v>-7.4033185050492887E-3</v>
      </c>
      <c r="R19" s="3"/>
      <c r="S19" s="3">
        <f t="shared" si="2"/>
        <v>-3.5328116374971755E-2</v>
      </c>
      <c r="T19" s="3"/>
    </row>
    <row r="20" spans="1:20" x14ac:dyDescent="0.2">
      <c r="A20" t="s">
        <v>24</v>
      </c>
      <c r="B20" s="1">
        <v>45951</v>
      </c>
      <c r="C20">
        <v>0.82</v>
      </c>
      <c r="D20">
        <v>0.78</v>
      </c>
      <c r="E20" s="3">
        <f t="shared" si="0"/>
        <v>5.1282051282051183E-2</v>
      </c>
      <c r="F20" s="3">
        <f>(I20 - G20) /G20</f>
        <v>6.6327294505165321E-2</v>
      </c>
      <c r="G20" s="5">
        <v>66.790000000000006</v>
      </c>
      <c r="H20">
        <v>68.44</v>
      </c>
      <c r="I20">
        <v>71.22</v>
      </c>
      <c r="J20">
        <v>70.81</v>
      </c>
      <c r="K20">
        <v>70.16</v>
      </c>
      <c r="L20" s="3">
        <f t="shared" si="3"/>
        <v>-5.7568098848637542E-3</v>
      </c>
      <c r="M20" t="str">
        <f t="shared" si="4"/>
        <v>Beat</v>
      </c>
      <c r="O20" s="3"/>
      <c r="Q20" s="3">
        <f t="shared" si="1"/>
        <v>3.4628872004675695E-2</v>
      </c>
      <c r="R20" s="3"/>
      <c r="S20" s="3">
        <f t="shared" si="2"/>
        <v>2.513150204558736E-2</v>
      </c>
      <c r="T20" s="3"/>
    </row>
    <row r="21" spans="1:20" x14ac:dyDescent="0.2">
      <c r="A21" t="s">
        <v>25</v>
      </c>
      <c r="B21" s="1">
        <v>45966</v>
      </c>
      <c r="C21">
        <v>3.22</v>
      </c>
      <c r="D21">
        <v>3.35</v>
      </c>
      <c r="E21" s="3">
        <f t="shared" si="0"/>
        <v>-3.8805970149253702E-2</v>
      </c>
      <c r="F21" s="3">
        <f>(I21 - G21) /G21</f>
        <v>-1.4317500241849659E-2</v>
      </c>
      <c r="G21" s="5">
        <v>310.11</v>
      </c>
      <c r="H21">
        <v>299.20999999999998</v>
      </c>
      <c r="I21">
        <v>305.67</v>
      </c>
      <c r="J21">
        <v>298.41000000000003</v>
      </c>
      <c r="K21">
        <v>306.94</v>
      </c>
      <c r="L21" s="3">
        <f t="shared" si="3"/>
        <v>-2.3751104131906928E-2</v>
      </c>
      <c r="M21" t="str">
        <f t="shared" si="4"/>
        <v>Miss</v>
      </c>
      <c r="O21" s="3"/>
      <c r="Q21" s="3"/>
      <c r="R21" s="3">
        <f t="shared" si="5"/>
        <v>-2.673707429564368E-3</v>
      </c>
      <c r="S21" s="3"/>
      <c r="T21" s="3">
        <f t="shared" si="6"/>
        <v>2.5834698038167236E-2</v>
      </c>
    </row>
    <row r="22" spans="1:20" x14ac:dyDescent="0.2">
      <c r="A22" t="s">
        <v>26</v>
      </c>
      <c r="B22" s="1">
        <v>45951</v>
      </c>
      <c r="C22">
        <v>2.19</v>
      </c>
      <c r="D22">
        <v>2.1</v>
      </c>
      <c r="E22" s="3">
        <f t="shared" si="0"/>
        <v>4.2857142857142788E-2</v>
      </c>
      <c r="F22" s="3">
        <f>(I22 - G22) /G22</f>
        <v>7.2812721303032082E-2</v>
      </c>
      <c r="G22" s="5">
        <v>155.33000000000001</v>
      </c>
      <c r="H22">
        <v>154.78</v>
      </c>
      <c r="I22">
        <v>166.64</v>
      </c>
      <c r="J22">
        <v>167.23</v>
      </c>
      <c r="K22">
        <v>166.83</v>
      </c>
      <c r="L22" s="3">
        <f t="shared" si="3"/>
        <v>3.5405664906385231E-3</v>
      </c>
      <c r="M22" t="str">
        <f t="shared" si="4"/>
        <v>Beat</v>
      </c>
      <c r="O22" s="3"/>
      <c r="Q22" s="3">
        <f t="shared" si="1"/>
        <v>8.0436748933970723E-2</v>
      </c>
      <c r="R22" s="3"/>
      <c r="S22" s="3">
        <f t="shared" si="2"/>
        <v>7.7852435715208751E-2</v>
      </c>
      <c r="T22" s="3"/>
    </row>
    <row r="23" spans="1:20" x14ac:dyDescent="0.2">
      <c r="A23" t="s">
        <v>27</v>
      </c>
      <c r="B23" s="1">
        <v>45960</v>
      </c>
      <c r="C23">
        <v>2.58</v>
      </c>
      <c r="D23">
        <v>2.36</v>
      </c>
      <c r="E23" s="3">
        <f t="shared" si="0"/>
        <v>9.3220338983050932E-2</v>
      </c>
      <c r="F23" s="3">
        <f>(I23 - G23) /G23</f>
        <v>2.8122020972354615E-2</v>
      </c>
      <c r="G23" s="5">
        <v>83.92</v>
      </c>
      <c r="H23">
        <v>86.58</v>
      </c>
      <c r="I23">
        <v>86.28</v>
      </c>
      <c r="J23">
        <v>85.98</v>
      </c>
      <c r="K23">
        <v>85.78</v>
      </c>
      <c r="L23" s="3">
        <f t="shared" si="3"/>
        <v>-3.4770514603615806E-3</v>
      </c>
      <c r="M23" t="str">
        <f t="shared" si="4"/>
        <v>Beat</v>
      </c>
      <c r="O23" s="3"/>
      <c r="Q23" s="3">
        <f t="shared" si="1"/>
        <v>-6.9300069300068648E-3</v>
      </c>
      <c r="R23" s="3"/>
      <c r="S23" s="3">
        <f t="shared" si="2"/>
        <v>-9.2400092400092074E-3</v>
      </c>
      <c r="T23" s="3"/>
    </row>
    <row r="24" spans="1:20" x14ac:dyDescent="0.2">
      <c r="A24" t="s">
        <v>28</v>
      </c>
      <c r="B24" s="1">
        <v>45930</v>
      </c>
      <c r="C24">
        <v>0.49</v>
      </c>
      <c r="D24">
        <v>0.27</v>
      </c>
      <c r="E24" s="3">
        <f t="shared" si="0"/>
        <v>0.81481481481481466</v>
      </c>
      <c r="F24" s="3">
        <f>(I24 - G24) /G24</f>
        <v>-4.1512027491408879E-2</v>
      </c>
      <c r="G24" s="5">
        <v>72.75</v>
      </c>
      <c r="H24">
        <v>69.55</v>
      </c>
      <c r="I24">
        <v>69.73</v>
      </c>
      <c r="J24">
        <v>74.2</v>
      </c>
      <c r="K24">
        <v>68.91</v>
      </c>
      <c r="L24" s="3">
        <f t="shared" si="3"/>
        <v>6.410440269611356E-2</v>
      </c>
      <c r="M24" t="str">
        <f t="shared" si="4"/>
        <v>Beat</v>
      </c>
      <c r="O24" s="3"/>
      <c r="Q24" s="3">
        <f t="shared" si="1"/>
        <v>6.6858375269590306E-2</v>
      </c>
      <c r="R24" s="3"/>
      <c r="S24" s="3">
        <f t="shared" si="2"/>
        <v>-9.2020129403307064E-3</v>
      </c>
      <c r="T24" s="3"/>
    </row>
    <row r="25" spans="1:20" x14ac:dyDescent="0.2">
      <c r="A25" t="s">
        <v>29</v>
      </c>
      <c r="B25" s="1">
        <v>45954</v>
      </c>
      <c r="C25">
        <v>1.99</v>
      </c>
      <c r="D25">
        <v>1.9</v>
      </c>
      <c r="E25" s="3">
        <f t="shared" si="0"/>
        <v>4.7368421052631622E-2</v>
      </c>
      <c r="F25" s="3">
        <f>(I25 - G25) /G25</f>
        <v>1.8705324336963133E-2</v>
      </c>
      <c r="G25" s="5">
        <v>149.69</v>
      </c>
      <c r="H25">
        <v>152.21</v>
      </c>
      <c r="I25">
        <v>152.49</v>
      </c>
      <c r="J25">
        <v>151.74</v>
      </c>
      <c r="K25">
        <v>150.37</v>
      </c>
      <c r="L25" s="3">
        <f t="shared" si="3"/>
        <v>-4.9183553019870154E-3</v>
      </c>
      <c r="M25" t="str">
        <f t="shared" si="4"/>
        <v>Beat</v>
      </c>
      <c r="O25" s="3"/>
      <c r="Q25" s="3">
        <f t="shared" si="1"/>
        <v>-3.0878391695683518E-3</v>
      </c>
      <c r="R25" s="3"/>
      <c r="S25" s="3">
        <f t="shared" si="2"/>
        <v>-1.2088561855331472E-2</v>
      </c>
      <c r="T25" s="3"/>
    </row>
    <row r="26" spans="1:20" x14ac:dyDescent="0.2">
      <c r="A26" t="s">
        <v>30</v>
      </c>
      <c r="B26" s="1">
        <v>45946</v>
      </c>
      <c r="C26">
        <v>8.14</v>
      </c>
      <c r="D26">
        <v>6.01</v>
      </c>
      <c r="E26" s="3">
        <f t="shared" si="0"/>
        <v>0.3544093178036607</v>
      </c>
      <c r="F26" s="3">
        <f>(I26 - G26) /G26</f>
        <v>-6.595486359091568E-2</v>
      </c>
      <c r="G26" s="5">
        <v>280.04000000000002</v>
      </c>
      <c r="H26">
        <v>269.45</v>
      </c>
      <c r="I26">
        <v>261.57</v>
      </c>
      <c r="J26">
        <v>262.01</v>
      </c>
      <c r="K26">
        <v>269.10000000000002</v>
      </c>
      <c r="L26" s="3">
        <f t="shared" si="3"/>
        <v>1.6821500936651671E-3</v>
      </c>
      <c r="M26" t="str">
        <f t="shared" si="4"/>
        <v>Beat</v>
      </c>
      <c r="O26" s="3"/>
      <c r="Q26" s="3">
        <f t="shared" si="1"/>
        <v>-2.7611801818519199E-2</v>
      </c>
      <c r="R26" s="3"/>
      <c r="S26" s="3">
        <f t="shared" si="2"/>
        <v>-1.2989422898495673E-3</v>
      </c>
      <c r="T26" s="3"/>
    </row>
    <row r="27" spans="1:20" x14ac:dyDescent="0.2">
      <c r="A27" t="s">
        <v>31</v>
      </c>
      <c r="B27" s="1">
        <v>45958</v>
      </c>
      <c r="C27">
        <v>2.92</v>
      </c>
      <c r="D27">
        <v>2.75</v>
      </c>
      <c r="E27" s="3">
        <f t="shared" si="0"/>
        <v>6.1818181818181793E-2</v>
      </c>
      <c r="F27" s="3">
        <f>(I27 - G27) /G27</f>
        <v>2.197649542966679E-2</v>
      </c>
      <c r="G27" s="5">
        <v>359.93</v>
      </c>
      <c r="H27">
        <v>365.98</v>
      </c>
      <c r="I27">
        <v>367.84</v>
      </c>
      <c r="J27">
        <v>355.26</v>
      </c>
      <c r="K27">
        <v>330.83</v>
      </c>
      <c r="L27" s="3">
        <f t="shared" si="3"/>
        <v>-3.4199652022618487E-2</v>
      </c>
      <c r="M27" t="str">
        <f t="shared" si="4"/>
        <v>Beat</v>
      </c>
      <c r="O27" s="3"/>
      <c r="Q27" s="3">
        <f t="shared" si="1"/>
        <v>-2.9291218099349765E-2</v>
      </c>
      <c r="R27" s="3"/>
      <c r="S27" s="3">
        <f t="shared" si="2"/>
        <v>-9.6043499644789421E-2</v>
      </c>
      <c r="T27" s="3"/>
    </row>
    <row r="28" spans="1:20" x14ac:dyDescent="0.2">
      <c r="A28" t="s">
        <v>32</v>
      </c>
      <c r="B28" s="1">
        <v>45958</v>
      </c>
      <c r="C28">
        <v>2.98</v>
      </c>
      <c r="D28">
        <v>2.97</v>
      </c>
      <c r="E28" s="3">
        <f t="shared" si="0"/>
        <v>3.3670033670032949E-3</v>
      </c>
      <c r="F28" s="3">
        <f>(I28 - G28) /G28</f>
        <v>-4.2482346862621799E-3</v>
      </c>
      <c r="G28" s="5">
        <v>348.38</v>
      </c>
      <c r="H28">
        <v>347.82</v>
      </c>
      <c r="I28">
        <v>346.9</v>
      </c>
      <c r="J28">
        <v>341.28</v>
      </c>
      <c r="K28">
        <v>340.3</v>
      </c>
      <c r="L28" s="3">
        <f t="shared" si="3"/>
        <v>-1.6200634188526967E-2</v>
      </c>
      <c r="M28" t="str">
        <f t="shared" si="4"/>
        <v>Beat</v>
      </c>
      <c r="O28" s="3"/>
      <c r="Q28" s="3">
        <f t="shared" si="1"/>
        <v>-1.8802829049508425E-2</v>
      </c>
      <c r="R28" s="3"/>
      <c r="S28" s="3">
        <f t="shared" si="2"/>
        <v>-2.162037835662119E-2</v>
      </c>
      <c r="T28" s="3"/>
    </row>
    <row r="29" spans="1:20" x14ac:dyDescent="0.2">
      <c r="A29" t="s">
        <v>33</v>
      </c>
      <c r="B29" s="1">
        <v>45959</v>
      </c>
      <c r="C29">
        <v>1.21</v>
      </c>
      <c r="D29">
        <v>1.19</v>
      </c>
      <c r="E29" s="3">
        <f t="shared" si="0"/>
        <v>1.6806722689075647E-2</v>
      </c>
      <c r="F29" s="3">
        <f>(I29 - G29) /G29</f>
        <v>-4.2100049529470458E-3</v>
      </c>
      <c r="G29" s="5">
        <v>40.380000000000003</v>
      </c>
      <c r="H29">
        <v>39.32</v>
      </c>
      <c r="I29">
        <v>40.21</v>
      </c>
      <c r="J29">
        <v>38.96</v>
      </c>
      <c r="K29">
        <v>39.69</v>
      </c>
      <c r="L29" s="3">
        <f t="shared" si="3"/>
        <v>-3.1086794329768713E-2</v>
      </c>
      <c r="M29" t="str">
        <f t="shared" si="4"/>
        <v>Beat</v>
      </c>
      <c r="O29" s="3"/>
      <c r="Q29" s="3">
        <f t="shared" si="1"/>
        <v>-9.1556459816886943E-3</v>
      </c>
      <c r="R29" s="3"/>
      <c r="S29" s="3">
        <f t="shared" si="2"/>
        <v>9.4099694811799958E-3</v>
      </c>
      <c r="T29" s="3"/>
    </row>
    <row r="30" spans="1:20" x14ac:dyDescent="0.2">
      <c r="A30" t="s">
        <v>37</v>
      </c>
      <c r="B30" s="1">
        <v>45958</v>
      </c>
      <c r="C30">
        <v>3.59</v>
      </c>
      <c r="D30">
        <v>3.46</v>
      </c>
      <c r="E30" s="3">
        <f t="shared" si="0"/>
        <v>3.7572254335260083E-2</v>
      </c>
      <c r="F30" s="3">
        <f>(I30 - G30) /G30</f>
        <v>5.7207623706266614E-2</v>
      </c>
      <c r="G30" s="5">
        <v>335.27</v>
      </c>
      <c r="H30">
        <v>336.08</v>
      </c>
      <c r="I30">
        <v>354.45</v>
      </c>
      <c r="J30">
        <v>345.73</v>
      </c>
      <c r="K30">
        <v>342.98</v>
      </c>
      <c r="L30" s="3">
        <f t="shared" si="3"/>
        <v>-2.4601495274368657E-2</v>
      </c>
      <c r="M30" t="str">
        <f t="shared" si="4"/>
        <v>Beat</v>
      </c>
      <c r="O30" s="3"/>
      <c r="Q30" s="3">
        <f t="shared" si="1"/>
        <v>2.8713401571054613E-2</v>
      </c>
      <c r="R30" s="3"/>
      <c r="S30" s="3">
        <f t="shared" si="2"/>
        <v>2.0530825993811098E-2</v>
      </c>
      <c r="T30" s="3"/>
    </row>
    <row r="31" spans="1:20" x14ac:dyDescent="0.2">
      <c r="A31" t="s">
        <v>34</v>
      </c>
      <c r="B31" s="1">
        <v>45890</v>
      </c>
      <c r="C31">
        <v>0.68</v>
      </c>
      <c r="D31">
        <v>0.73</v>
      </c>
      <c r="E31" s="3">
        <f t="shared" si="0"/>
        <v>-6.849315068493142E-2</v>
      </c>
      <c r="F31" s="3">
        <f>(I31 - G31) /G31</f>
        <v>-5.0038789759503592E-2</v>
      </c>
      <c r="G31" s="5">
        <v>103.12</v>
      </c>
      <c r="H31">
        <v>102.57</v>
      </c>
      <c r="I31">
        <v>97.96</v>
      </c>
      <c r="J31">
        <v>96.83</v>
      </c>
      <c r="K31">
        <v>96.11</v>
      </c>
      <c r="L31" s="3">
        <f t="shared" si="3"/>
        <v>-1.1535320538995463E-2</v>
      </c>
      <c r="M31" t="str">
        <f t="shared" si="4"/>
        <v>Miss</v>
      </c>
      <c r="O31" s="3"/>
      <c r="R31" s="3">
        <f t="shared" si="5"/>
        <v>-5.5961782197523596E-2</v>
      </c>
      <c r="S31" s="3"/>
      <c r="T31" s="3">
        <f t="shared" si="6"/>
        <v>-6.2981378570732133E-2</v>
      </c>
    </row>
    <row r="32" spans="1:20" x14ac:dyDescent="0.2">
      <c r="G32" s="5"/>
      <c r="Q32" s="4"/>
      <c r="R32" s="4"/>
      <c r="S32" s="4"/>
      <c r="T32" s="4"/>
    </row>
    <row r="33" spans="7:20" x14ac:dyDescent="0.2">
      <c r="G33" s="5"/>
    </row>
    <row r="34" spans="7:20" x14ac:dyDescent="0.2">
      <c r="G34" s="5"/>
      <c r="P34" t="s">
        <v>41</v>
      </c>
      <c r="Q34" s="3">
        <f>AVERAGE(Q2:Q31)</f>
        <v>1.5147774534022957E-2</v>
      </c>
      <c r="R34" s="3">
        <f>AVERAGE(R2:R31)</f>
        <v>-3.6226297417365765E-2</v>
      </c>
      <c r="S34" s="3">
        <f>AVERAGE(S2:S31)</f>
        <v>9.6349937018529765E-3</v>
      </c>
      <c r="T34" s="3">
        <f>AVERAGE(T2:T31)</f>
        <v>-2.9934191378320263E-2</v>
      </c>
    </row>
    <row r="35" spans="7:20" x14ac:dyDescent="0.2">
      <c r="G35" s="5"/>
    </row>
    <row r="36" spans="7:20" x14ac:dyDescent="0.2">
      <c r="G36" s="5"/>
    </row>
    <row r="37" spans="7:20" x14ac:dyDescent="0.2">
      <c r="G37" s="5"/>
    </row>
    <row r="38" spans="7:20" x14ac:dyDescent="0.2">
      <c r="G38" s="5"/>
    </row>
    <row r="39" spans="7:20" x14ac:dyDescent="0.2">
      <c r="G39" s="5"/>
    </row>
    <row r="40" spans="7:20" x14ac:dyDescent="0.2">
      <c r="G40" s="5"/>
    </row>
    <row r="41" spans="7:20" x14ac:dyDescent="0.2">
      <c r="G41" s="5">
        <v>1</v>
      </c>
    </row>
    <row r="42" spans="7:20" x14ac:dyDescent="0.2">
      <c r="G42" s="5"/>
    </row>
    <row r="43" spans="7:20" x14ac:dyDescent="0.2">
      <c r="G43" s="5"/>
    </row>
    <row r="44" spans="7:20" x14ac:dyDescent="0.2">
      <c r="G44" s="5"/>
    </row>
    <row r="45" spans="7:20" x14ac:dyDescent="0.2">
      <c r="G45" s="5"/>
    </row>
    <row r="46" spans="7:20" x14ac:dyDescent="0.2">
      <c r="G46" s="5"/>
    </row>
    <row r="47" spans="7:20" x14ac:dyDescent="0.2">
      <c r="G47" s="5"/>
    </row>
    <row r="48" spans="7:20" x14ac:dyDescent="0.2">
      <c r="G48" s="5"/>
    </row>
    <row r="49" spans="7:7" x14ac:dyDescent="0.2">
      <c r="G49" s="5"/>
    </row>
    <row r="50" spans="7:7" x14ac:dyDescent="0.2">
      <c r="G50" s="5"/>
    </row>
  </sheetData>
  <conditionalFormatting sqref="M1:M1048576">
    <cfRule type="cellIs" dxfId="1" priority="1" operator="equal">
      <formula>"Miss"</formula>
    </cfRule>
    <cfRule type="cellIs" dxfId="0" priority="2" operator="equal">
      <formula>"Beat"</formula>
    </cfRule>
  </conditionalFormatting>
  <pageMargins left="0.7" right="0.7" top="0.75" bottom="0.75" header="0.3" footer="0.3"/>
  <ignoredErrors>
    <ignoredError sqref="E6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Riar (rr4g23)</dc:creator>
  <cp:lastModifiedBy>Rohan Riar (rr4g23)</cp:lastModifiedBy>
  <dcterms:created xsi:type="dcterms:W3CDTF">2025-11-21T11:50:12Z</dcterms:created>
  <dcterms:modified xsi:type="dcterms:W3CDTF">2025-11-22T11:44:01Z</dcterms:modified>
</cp:coreProperties>
</file>